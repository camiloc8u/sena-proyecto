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ADMINISTRATIVOS Y DE VEN" sheetId="1" r:id="rId4"/>
    <sheet state="visible" name="COSTOS DE OPERACIÓN O PRODUCCIÓ" sheetId="2" r:id="rId5"/>
    <sheet state="visible" name="COSTO OPERACIONAL RECURRENTE (H" sheetId="3" r:id="rId6"/>
  </sheets>
  <definedNames/>
  <calcPr/>
</workbook>
</file>

<file path=xl/sharedStrings.xml><?xml version="1.0" encoding="utf-8"?>
<sst xmlns="http://schemas.openxmlformats.org/spreadsheetml/2006/main" count="56" uniqueCount="44">
  <si>
    <t>GASTOS ADMINISTRATIVOS Y DE VENTAS</t>
  </si>
  <si>
    <t>Trimestre 1</t>
  </si>
  <si>
    <t>Trimestre 2</t>
  </si>
  <si>
    <t>Trimestre 3</t>
  </si>
  <si>
    <t>Trimestre 4</t>
  </si>
  <si>
    <t>Trimestre 5</t>
  </si>
  <si>
    <t>Trimestre 6</t>
  </si>
  <si>
    <t>Total (18 Meses)</t>
  </si>
  <si>
    <t>Salarios personal administrativo ($1.500.000)</t>
  </si>
  <si>
    <t>Servicios Públicos ($1.000.000)</t>
  </si>
  <si>
    <t>Aseo ($200.000)</t>
  </si>
  <si>
    <t>Papelería ($100.000)</t>
  </si>
  <si>
    <t>Salarios personal ventas ($1.000.000)</t>
  </si>
  <si>
    <t>Publicidad ($500.000)</t>
  </si>
  <si>
    <t>Comunicaciones ($200.000)</t>
  </si>
  <si>
    <t>Servicio al cliente ($1.194.444)</t>
  </si>
  <si>
    <t xml:space="preserve">TOTAL GASTOS </t>
  </si>
  <si>
    <t>COSTOS DE OPERACIÓN O PRODUCCIÓN</t>
  </si>
  <si>
    <t>T1 (M 1-3)</t>
  </si>
  <si>
    <t>T2 (M 4-6)</t>
  </si>
  <si>
    <t>T3 (M 7-9)</t>
  </si>
  <si>
    <t>T4 (M 10-12)</t>
  </si>
  <si>
    <t>T5 (M 13-15)</t>
  </si>
  <si>
    <t>T6 (M 16-18)</t>
  </si>
  <si>
    <t>Adquisición PC Aprendiz SENA 1</t>
  </si>
  <si>
    <t>Adquisición PC Aprendiz SENA 2</t>
  </si>
  <si>
    <t>Adquisición PC Aprendiz SENA 3</t>
  </si>
  <si>
    <t>Adquisición PC Aprendiz SENA 4</t>
  </si>
  <si>
    <t>Adquisición PC Aprendiz SENA 5</t>
  </si>
  <si>
    <t>Costo insumos (Licencias, Cloud Hosting)</t>
  </si>
  <si>
    <t>Costo materiales (Hardware, Lector Huella)</t>
  </si>
  <si>
    <t>Arriendo local ($2.000.000/mes)</t>
  </si>
  <si>
    <t>TOTAL OPERACIÓN</t>
  </si>
  <si>
    <t>Hosting y Soporte</t>
  </si>
  <si>
    <t>Frecuencia</t>
  </si>
  <si>
    <t>Costo Mensual</t>
  </si>
  <si>
    <t>Hosting/Servidores</t>
  </si>
  <si>
    <t>Mensual</t>
  </si>
  <si>
    <t>Dominio y Certificado SSL</t>
  </si>
  <si>
    <t>Anual</t>
  </si>
  <si>
    <t>no aplica</t>
  </si>
  <si>
    <t>Soporte y Mantenimiento</t>
  </si>
  <si>
    <t>TOTAL OPERACIONAL RECURRENTE</t>
  </si>
  <si>
    <t>12,000,000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</si>
</sst>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Roboto"/>
    </font>
    <font>
      <b/>
      <sz val="11.0"/>
      <color rgb="FF000000"/>
      <name val="Roboto"/>
    </font>
    <font>
      <b/>
      <sz val="11.0"/>
      <color theme="1"/>
      <name val="Roboto"/>
    </font>
    <font>
      <b/>
      <sz val="11.0"/>
      <color rgb="FFF6F8F9"/>
      <name val="Roboto"/>
    </font>
    <font>
      <b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3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3" xfId="0" applyAlignment="1" applyBorder="1" applyFont="1" applyNumberFormat="1">
      <alignment horizontal="right" shrinkToFit="0" vertical="center" wrapText="0"/>
    </xf>
    <xf borderId="1" fillId="0" fontId="3" numFmtId="3" xfId="0" applyAlignment="1" applyBorder="1" applyFont="1" applyNumberFormat="1">
      <alignment horizontal="righ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3" xfId="0" applyAlignment="1" applyBorder="1" applyFont="1" applyNumberFormat="1">
      <alignment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4" fontId="4" numFmtId="3" xfId="0" applyAlignment="1" applyBorder="1" applyFont="1" applyNumberFormat="1">
      <alignment horizontal="right"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1" fillId="5" fontId="4" numFmtId="0" xfId="0" applyAlignment="1" applyBorder="1" applyFill="1" applyFont="1">
      <alignment shrinkToFit="0" vertical="center" wrapText="0"/>
    </xf>
    <xf borderId="1" fillId="5" fontId="4" numFmtId="3" xfId="0" applyAlignment="1" applyBorder="1" applyFont="1" applyNumberFormat="1">
      <alignment horizontal="right" shrinkToFit="0" vertical="center" wrapText="0"/>
    </xf>
    <xf borderId="1" fillId="5" fontId="4" numFmtId="0" xfId="0" applyAlignment="1" applyBorder="1" applyFont="1">
      <alignment horizontal="right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4" numFmtId="3" xfId="0" applyAlignment="1" applyBorder="1" applyFont="1" applyNumberFormat="1">
      <alignment horizontal="right" shrinkToFit="0" vertical="center" wrapText="0"/>
    </xf>
    <xf borderId="1" fillId="2" fontId="4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0" fontId="4" numFmtId="3" xfId="0" applyAlignment="1" applyBorder="1" applyFont="1" applyNumberFormat="1">
      <alignment horizontal="right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GASTOS ADMINISTRATIVOS Y DE V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OS DE OPERACIÓN O PRODUCCIÓ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STO OPERACIONAL RECURRENTE (H-style">
      <tableStyleElement dxfId="1" type="headerRow"/>
      <tableStyleElement dxfId="2" type="firstRowStripe"/>
      <tableStyleElement dxfId="3" type="secondRowStripe"/>
      <tableStyleElement dxfId="5" type="totalRow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2" displayName="Tabla_2" name="Tabla_2" id="1">
  <tableColumns count="8">
    <tableColumn name="GASTOS ADMINISTRATIVOS Y DE VENTAS" id="1"/>
    <tableColumn name="Trimestre 1" id="2"/>
    <tableColumn name="Trimestre 2" id="3"/>
    <tableColumn name="Trimestre 3" id="4"/>
    <tableColumn name="Trimestre 4" id="5"/>
    <tableColumn name="Trimestre 5" id="6"/>
    <tableColumn name="Trimestre 6" id="7"/>
    <tableColumn name="Total (18 Meses)" id="8"/>
  </tableColumns>
  <tableStyleInfo name="GASTOS ADMINISTRATIVOS Y DE VEN-style" showColumnStripes="0" showFirstColumn="1" showLastColumn="1" showRowStripes="1"/>
</table>
</file>

<file path=xl/tables/table2.xml><?xml version="1.0" encoding="utf-8"?>
<table xmlns="http://schemas.openxmlformats.org/spreadsheetml/2006/main" ref="A2:H11" displayName="Tabla_3" name="Tabla_3" id="2">
  <tableColumns count="8">
    <tableColumn name="COSTOS DE OPERACIÓN O PRODUCCIÓN" id="1"/>
    <tableColumn name="T1 (M 1-3)" id="2"/>
    <tableColumn name="T2 (M 4-6)" id="3"/>
    <tableColumn name="T3 (M 7-9)" id="4"/>
    <tableColumn name="T4 (M 10-12)" id="5"/>
    <tableColumn name="T5 (M 13-15)" id="6"/>
    <tableColumn name="T6 (M 16-18)" id="7"/>
    <tableColumn name="Total (18 Meses)" id="8"/>
  </tableColumns>
  <tableStyleInfo name="COSTOS DE OPERACIÓN O PRODUCCIÓ-style" showColumnStripes="0" showFirstColumn="1" showLastColumn="1" showRowStripes="1"/>
</table>
</file>

<file path=xl/tables/table3.xml><?xml version="1.0" encoding="utf-8"?>
<table xmlns="http://schemas.openxmlformats.org/spreadsheetml/2006/main" totalsRowCount="1" ref="A1:J5" displayName="Tabla_1" name="Tabla_1" id="3">
  <tableColumns count="10">
    <tableColumn totalsRowLabel="TOTAL OPERACIONAL RECURRENTE" name="Hosting y Soporte" id="1"/>
    <tableColumn name="Frecuencia" id="2"/>
    <tableColumn name="Costo Mensual" id="3"/>
    <tableColumn totalsRowFunction="custom" name="Trimestre 1" id="4"/>
    <tableColumn totalsRowLabel="12,000,000" name="Trimestre 2" id="5"/>
    <tableColumn totalsRowLabel="12,000,000" name="Trimestre 3" id="6"/>
    <tableColumn totalsRowLabel="12,000,000" name="Trimestre 4" id="7"/>
    <tableColumn totalsRowFunction="custom" name="Trimestre 5" id="8"/>
    <tableColumn totalsRowLabel="12,000,000" name="Trimestre 6" id="9"/>
    <tableColumn totalsRowFunction="custom" name="Total (18 Meses)" id="10"/>
  </tableColumns>
  <tableStyleInfo name="COSTO OPERACIONAL RECURRENTE (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0"/>
    <col customWidth="1" min="2" max="8" width="25.25"/>
  </cols>
  <sheetData>
    <row r="2">
      <c r="A2" s="1"/>
      <c r="B2" s="1"/>
      <c r="C2" s="1"/>
      <c r="D2" s="1"/>
      <c r="E2" s="1"/>
      <c r="F2" s="1"/>
      <c r="G2" s="1"/>
      <c r="H2" s="1"/>
    </row>
    <row r="3" ht="33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ht="33.0" customHeight="1">
      <c r="A4" s="3" t="s">
        <v>8</v>
      </c>
      <c r="B4" s="4">
        <v>4500000.0</v>
      </c>
      <c r="C4" s="4">
        <v>4500000.0</v>
      </c>
      <c r="D4" s="4">
        <v>4500000.0</v>
      </c>
      <c r="E4" s="4">
        <v>4500000.0</v>
      </c>
      <c r="F4" s="4">
        <v>4500000.0</v>
      </c>
      <c r="G4" s="4">
        <v>4500000.0</v>
      </c>
      <c r="H4" s="4">
        <v>2.7E7</v>
      </c>
    </row>
    <row r="5" ht="33.0" customHeight="1">
      <c r="A5" s="3" t="s">
        <v>9</v>
      </c>
      <c r="B5" s="4">
        <v>3000000.0</v>
      </c>
      <c r="C5" s="4">
        <v>3000000.0</v>
      </c>
      <c r="D5" s="4">
        <v>3000000.0</v>
      </c>
      <c r="E5" s="4">
        <v>3000000.0</v>
      </c>
      <c r="F5" s="4">
        <v>3000000.0</v>
      </c>
      <c r="G5" s="4">
        <v>3000000.0</v>
      </c>
      <c r="H5" s="4">
        <v>1.8E7</v>
      </c>
    </row>
    <row r="6" ht="33.0" customHeight="1">
      <c r="A6" s="3" t="s">
        <v>10</v>
      </c>
      <c r="B6" s="4">
        <v>600000.0</v>
      </c>
      <c r="C6" s="4">
        <v>600000.0</v>
      </c>
      <c r="D6" s="4">
        <v>600000.0</v>
      </c>
      <c r="E6" s="4">
        <v>600000.0</v>
      </c>
      <c r="F6" s="4">
        <v>600000.0</v>
      </c>
      <c r="G6" s="4">
        <v>600000.0</v>
      </c>
      <c r="H6" s="4">
        <v>3600000.0</v>
      </c>
    </row>
    <row r="7" ht="33.0" customHeight="1">
      <c r="A7" s="5" t="s">
        <v>11</v>
      </c>
      <c r="B7" s="6">
        <v>300000.0</v>
      </c>
      <c r="C7" s="6">
        <v>300000.0</v>
      </c>
      <c r="D7" s="7">
        <v>300000.0</v>
      </c>
      <c r="E7" s="7">
        <v>300000.0</v>
      </c>
      <c r="F7" s="7">
        <v>300000.0</v>
      </c>
      <c r="G7" s="7">
        <v>300000.0</v>
      </c>
      <c r="H7" s="7">
        <v>1800000.0</v>
      </c>
    </row>
    <row r="8" ht="33.0" customHeight="1">
      <c r="A8" s="3" t="s">
        <v>12</v>
      </c>
      <c r="B8" s="4">
        <v>3000000.0</v>
      </c>
      <c r="C8" s="4">
        <v>3000000.0</v>
      </c>
      <c r="D8" s="4">
        <v>3000000.0</v>
      </c>
      <c r="E8" s="4">
        <v>3000000.0</v>
      </c>
      <c r="F8" s="4">
        <v>3000000.0</v>
      </c>
      <c r="G8" s="4">
        <v>3000000.0</v>
      </c>
      <c r="H8" s="4">
        <v>1.8E7</v>
      </c>
    </row>
    <row r="9" ht="33.0" customHeight="1">
      <c r="A9" s="3" t="s">
        <v>13</v>
      </c>
      <c r="B9" s="4">
        <v>1500000.0</v>
      </c>
      <c r="C9" s="4">
        <v>1500000.0</v>
      </c>
      <c r="D9" s="4">
        <v>1500000.0</v>
      </c>
      <c r="E9" s="4">
        <v>1500000.0</v>
      </c>
      <c r="F9" s="4">
        <v>1500000.0</v>
      </c>
      <c r="G9" s="4">
        <v>1500000.0</v>
      </c>
      <c r="H9" s="4">
        <v>9000000.0</v>
      </c>
    </row>
    <row r="10" ht="33.0" customHeight="1">
      <c r="A10" s="3" t="s">
        <v>14</v>
      </c>
      <c r="B10" s="4">
        <v>600000.0</v>
      </c>
      <c r="C10" s="4">
        <v>600000.0</v>
      </c>
      <c r="D10" s="4">
        <v>600000.0</v>
      </c>
      <c r="E10" s="4">
        <v>600000.0</v>
      </c>
      <c r="F10" s="4">
        <v>600000.0</v>
      </c>
      <c r="G10" s="4">
        <v>600000.0</v>
      </c>
      <c r="H10" s="4">
        <v>3600000.0</v>
      </c>
    </row>
    <row r="11" ht="33.0" customHeight="1">
      <c r="A11" s="3" t="s">
        <v>15</v>
      </c>
      <c r="B11" s="4">
        <v>3583333.0</v>
      </c>
      <c r="C11" s="4">
        <v>3583333.0</v>
      </c>
      <c r="D11" s="4">
        <v>3583333.0</v>
      </c>
      <c r="E11" s="4">
        <v>3583333.0</v>
      </c>
      <c r="F11" s="4">
        <v>3583333.0</v>
      </c>
      <c r="G11" s="4">
        <v>3583333.0</v>
      </c>
      <c r="H11" s="4">
        <v>2.15E7</v>
      </c>
    </row>
    <row r="12" ht="33.0" customHeight="1">
      <c r="A12" s="8" t="s">
        <v>16</v>
      </c>
      <c r="B12" s="9">
        <v>1.7083333E7</v>
      </c>
      <c r="C12" s="9">
        <v>1.7083333E7</v>
      </c>
      <c r="D12" s="9">
        <v>1.7083333E7</v>
      </c>
      <c r="E12" s="9">
        <v>1.7083333E7</v>
      </c>
      <c r="F12" s="9">
        <v>1.7083333E7</v>
      </c>
      <c r="G12" s="9">
        <v>1.7083333E7</v>
      </c>
      <c r="H12" s="9">
        <v>1.025E8</v>
      </c>
    </row>
  </sheetData>
  <dataValidations>
    <dataValidation type="custom" allowBlank="1" showDropDown="1" sqref="B4:H1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0"/>
    <col customWidth="1" min="2" max="8" width="25.25"/>
  </cols>
  <sheetData>
    <row r="1" ht="33.0" customHeight="1"/>
    <row r="2" ht="33.0" customHeight="1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7</v>
      </c>
    </row>
    <row r="3" ht="33.0" customHeight="1">
      <c r="A3" s="11" t="s">
        <v>24</v>
      </c>
      <c r="B3" s="12">
        <v>4000000.0</v>
      </c>
      <c r="C3" s="12">
        <v>0.0</v>
      </c>
      <c r="D3" s="13">
        <v>0.0</v>
      </c>
      <c r="E3" s="13">
        <v>0.0</v>
      </c>
      <c r="F3" s="13">
        <v>0.0</v>
      </c>
      <c r="G3" s="13">
        <v>0.0</v>
      </c>
      <c r="H3" s="12">
        <v>4000000.0</v>
      </c>
    </row>
    <row r="4" ht="33.0" customHeight="1">
      <c r="A4" s="14" t="s">
        <v>25</v>
      </c>
      <c r="B4" s="15">
        <v>4000000.0</v>
      </c>
      <c r="C4" s="15">
        <v>0.0</v>
      </c>
      <c r="D4" s="16">
        <v>0.0</v>
      </c>
      <c r="E4" s="16">
        <v>0.0</v>
      </c>
      <c r="F4" s="16">
        <v>0.0</v>
      </c>
      <c r="G4" s="16">
        <v>0.0</v>
      </c>
      <c r="H4" s="15">
        <v>4000000.0</v>
      </c>
    </row>
    <row r="5" ht="33.0" customHeight="1">
      <c r="A5" s="11" t="s">
        <v>26</v>
      </c>
      <c r="B5" s="12">
        <v>4000000.0</v>
      </c>
      <c r="C5" s="12">
        <v>0.0</v>
      </c>
      <c r="D5" s="13">
        <v>0.0</v>
      </c>
      <c r="E5" s="13">
        <v>0.0</v>
      </c>
      <c r="F5" s="13">
        <v>0.0</v>
      </c>
      <c r="G5" s="13">
        <v>0.0</v>
      </c>
      <c r="H5" s="12">
        <v>4000000.0</v>
      </c>
    </row>
    <row r="6" ht="33.0" customHeight="1">
      <c r="A6" s="14" t="s">
        <v>27</v>
      </c>
      <c r="B6" s="15">
        <v>4000000.0</v>
      </c>
      <c r="C6" s="15">
        <v>0.0</v>
      </c>
      <c r="D6" s="16">
        <v>0.0</v>
      </c>
      <c r="E6" s="16">
        <v>0.0</v>
      </c>
      <c r="F6" s="16">
        <v>0.0</v>
      </c>
      <c r="G6" s="16">
        <v>0.0</v>
      </c>
      <c r="H6" s="15">
        <v>4000000.0</v>
      </c>
    </row>
    <row r="7" ht="33.0" customHeight="1">
      <c r="A7" s="11" t="s">
        <v>28</v>
      </c>
      <c r="B7" s="12">
        <v>4000000.0</v>
      </c>
      <c r="C7" s="12">
        <v>0.0</v>
      </c>
      <c r="D7" s="13">
        <v>0.0</v>
      </c>
      <c r="E7" s="13">
        <v>0.0</v>
      </c>
      <c r="F7" s="13">
        <v>0.0</v>
      </c>
      <c r="G7" s="13">
        <v>0.0</v>
      </c>
      <c r="H7" s="12">
        <v>4000000.0</v>
      </c>
    </row>
    <row r="8" ht="33.0" customHeight="1">
      <c r="A8" s="11" t="s">
        <v>29</v>
      </c>
      <c r="B8" s="12">
        <v>2000000.0</v>
      </c>
      <c r="C8" s="12">
        <v>2000000.0</v>
      </c>
      <c r="D8" s="13">
        <v>2300000.0</v>
      </c>
      <c r="E8" s="13">
        <v>2500000.0</v>
      </c>
      <c r="F8" s="13">
        <v>2700000.0</v>
      </c>
      <c r="G8" s="13">
        <v>3000000.0</v>
      </c>
      <c r="H8" s="12">
        <v>1.45E7</v>
      </c>
    </row>
    <row r="9" ht="33.0" customHeight="1">
      <c r="A9" s="14" t="s">
        <v>30</v>
      </c>
      <c r="B9" s="15">
        <v>2500000.0</v>
      </c>
      <c r="C9" s="15">
        <v>500000.0</v>
      </c>
      <c r="D9" s="16">
        <v>0.0</v>
      </c>
      <c r="E9" s="16">
        <v>0.0</v>
      </c>
      <c r="F9" s="16">
        <v>0.0</v>
      </c>
      <c r="G9" s="16">
        <v>0.0</v>
      </c>
      <c r="H9" s="15">
        <v>3000000.0</v>
      </c>
    </row>
    <row r="10" ht="33.0" customHeight="1">
      <c r="A10" s="11" t="s">
        <v>31</v>
      </c>
      <c r="B10" s="12">
        <v>6000000.0</v>
      </c>
      <c r="C10" s="12">
        <v>6000000.0</v>
      </c>
      <c r="D10" s="13">
        <v>6000000.0</v>
      </c>
      <c r="E10" s="13">
        <v>6000000.0</v>
      </c>
      <c r="F10" s="13">
        <v>6000000.0</v>
      </c>
      <c r="G10" s="13">
        <v>6000000.0</v>
      </c>
      <c r="H10" s="12">
        <v>3.6E7</v>
      </c>
    </row>
    <row r="11" ht="33.0" customHeight="1">
      <c r="A11" s="17" t="s">
        <v>32</v>
      </c>
      <c r="B11" s="18">
        <v>3.05E7</v>
      </c>
      <c r="C11" s="18">
        <v>8500000.0</v>
      </c>
      <c r="D11" s="19">
        <v>8300000.0</v>
      </c>
      <c r="E11" s="19">
        <v>8500000.0</v>
      </c>
      <c r="F11" s="19">
        <v>8700000.0</v>
      </c>
      <c r="G11" s="19">
        <v>9000000.0</v>
      </c>
      <c r="H11" s="18">
        <v>7.35E7</v>
      </c>
    </row>
    <row r="12" ht="33.0" customHeight="1"/>
  </sheetData>
  <dataValidations>
    <dataValidation type="custom" allowBlank="1" showDropDown="1" sqref="B3:H11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0"/>
    <col customWidth="1" min="2" max="10" width="25.25"/>
  </cols>
  <sheetData>
    <row r="1" ht="33.0" customHeight="1">
      <c r="A1" s="20" t="s">
        <v>33</v>
      </c>
      <c r="B1" s="20" t="s">
        <v>34</v>
      </c>
      <c r="C1" s="20" t="s">
        <v>35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</row>
    <row r="2" ht="33.0" customHeight="1">
      <c r="A2" s="21" t="s">
        <v>36</v>
      </c>
      <c r="B2" s="22" t="s">
        <v>37</v>
      </c>
      <c r="C2" s="23">
        <v>1000000.0</v>
      </c>
      <c r="D2" s="23">
        <v>3000000.0</v>
      </c>
      <c r="E2" s="23">
        <v>3000000.0</v>
      </c>
      <c r="F2" s="23">
        <v>3000000.0</v>
      </c>
      <c r="G2" s="23">
        <v>3000000.0</v>
      </c>
      <c r="H2" s="23">
        <v>3000000.0</v>
      </c>
      <c r="I2" s="23">
        <v>3000000.0</v>
      </c>
      <c r="J2" s="23">
        <v>1.8E7</v>
      </c>
    </row>
    <row r="3" ht="33.0" customHeight="1">
      <c r="A3" s="21" t="s">
        <v>38</v>
      </c>
      <c r="B3" s="22" t="s">
        <v>39</v>
      </c>
      <c r="C3" s="22" t="s">
        <v>40</v>
      </c>
      <c r="D3" s="23">
        <v>200000.0</v>
      </c>
      <c r="E3" s="22">
        <v>0.0</v>
      </c>
      <c r="F3" s="22">
        <v>0.0</v>
      </c>
      <c r="G3" s="22">
        <v>0.0</v>
      </c>
      <c r="H3" s="23">
        <v>200000.0</v>
      </c>
      <c r="I3" s="22">
        <v>0.0</v>
      </c>
      <c r="J3" s="23">
        <v>400000.0</v>
      </c>
    </row>
    <row r="4" ht="33.0" customHeight="1">
      <c r="A4" s="21" t="s">
        <v>41</v>
      </c>
      <c r="B4" s="22" t="s">
        <v>37</v>
      </c>
      <c r="C4" s="23">
        <v>3000000.0</v>
      </c>
      <c r="D4" s="23">
        <v>9000000.0</v>
      </c>
      <c r="E4" s="23">
        <v>9000000.0</v>
      </c>
      <c r="F4" s="23">
        <v>9000000.0</v>
      </c>
      <c r="G4" s="23">
        <v>9000000.0</v>
      </c>
      <c r="H4" s="23">
        <v>9000000.0</v>
      </c>
      <c r="I4" s="23">
        <v>9000000.0</v>
      </c>
      <c r="J4" s="23">
        <v>5.4E7</v>
      </c>
    </row>
    <row r="5" ht="33.0" customHeight="1">
      <c r="A5" s="24" t="s">
        <v>42</v>
      </c>
      <c r="B5" s="25"/>
      <c r="C5" s="25"/>
      <c r="D5" s="23">
        <f>SUM(Tabla_1[Trimestre 1])</f>
        <v>12200000</v>
      </c>
      <c r="E5" s="23" t="s">
        <v>43</v>
      </c>
      <c r="F5" s="23" t="s">
        <v>43</v>
      </c>
      <c r="G5" s="23" t="s">
        <v>43</v>
      </c>
      <c r="H5" s="23">
        <f>SUM(Tabla_1[Trimestre 5])</f>
        <v>12200000</v>
      </c>
      <c r="I5" s="23" t="s">
        <v>43</v>
      </c>
      <c r="J5" s="23">
        <f>SUM(Tabla_1[Total (18 Meses)])</f>
        <v>72400000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D4 H2:H4 J2:J4">
      <formula1/>
    </dataValidation>
  </dataValidations>
  <drawing r:id="rId1"/>
  <tableParts count="1">
    <tablePart r:id="rId3"/>
  </tableParts>
</worksheet>
</file>