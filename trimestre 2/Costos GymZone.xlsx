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</sheets>
  <definedNames/>
  <calcPr/>
</workbook>
</file>

<file path=xl/sharedStrings.xml><?xml version="1.0" encoding="utf-8"?>
<sst xmlns="http://schemas.openxmlformats.org/spreadsheetml/2006/main" count="56" uniqueCount="37">
  <si>
    <t>Item</t>
  </si>
  <si>
    <t>Mes 1</t>
  </si>
  <si>
    <t>Mes 2</t>
  </si>
  <si>
    <t>Mes 3</t>
  </si>
  <si>
    <t>Mes 4</t>
  </si>
  <si>
    <t>Mes 5</t>
  </si>
  <si>
    <t>Total (5 Meses)</t>
  </si>
  <si>
    <t>Costo personal operaciones (Desarrolladores, QA)</t>
  </si>
  <si>
    <t>Costo insumos (Cloud Services, Licencias)</t>
  </si>
  <si>
    <t>Costo materiales (Hardware, Lector Huella Piloto)</t>
  </si>
  <si>
    <t>Arriendo local (Oficina compartida/coworking)</t>
  </si>
  <si>
    <t>Total</t>
  </si>
  <si>
    <t>Salarios personal administrativo (Gerencia, Contabilidad)</t>
  </si>
  <si>
    <t>Servicios Públicos (oficina pequeña)</t>
  </si>
  <si>
    <t>Aseo</t>
  </si>
  <si>
    <t>Comisiones sobre ventas</t>
  </si>
  <si>
    <t>Publicidad (Campañas digitales GymZone)</t>
  </si>
  <si>
    <t>Comunicaciones</t>
  </si>
  <si>
    <t>Servicio al cliente (Soporte)</t>
  </si>
  <si>
    <t>Transportes (Visitas a Gimnasios)</t>
  </si>
  <si>
    <t>Depreciación</t>
  </si>
  <si>
    <t>Impuestos</t>
  </si>
  <si>
    <t>Asesorías</t>
  </si>
  <si>
    <t>COSTOS DE OPERACIÓN O PRODUCCIÓN</t>
  </si>
  <si>
    <t>GASTOS ADMINISTRATIVOS Y DE VENTAS</t>
  </si>
  <si>
    <t>Descripción</t>
  </si>
  <si>
    <t>Frecuencia</t>
  </si>
  <si>
    <t>Costo Estimado (COP)</t>
  </si>
  <si>
    <t>Hosting/Servidores (Cloud)</t>
  </si>
  <si>
    <t>Alquiler de servidores para alojar la base de datos y el aplicativo web.</t>
  </si>
  <si>
    <t>Mensual</t>
  </si>
  <si>
    <t>Dominio y Certificado SSL</t>
  </si>
  <si>
    <t>Nombre de la web y seguridad de la conexión.</t>
  </si>
  <si>
    <t>Anual</t>
  </si>
  <si>
    <t>Soporte y Mantenimiento</t>
  </si>
  <si>
    <t>Corrección de errores, actualizaciones de seguridad, adaptaciones menores.</t>
  </si>
  <si>
    <t>Costo Operacional Mensual Estimado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</si>
</sst>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DD9D4"/>
        <bgColor rgb="FFCDD9D4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 style="double">
        <color rgb="FF284E3F"/>
      </top>
      <bottom style="thin">
        <color rgb="FF284E3F"/>
      </bottom>
    </border>
    <border>
      <left style="thin">
        <color rgb="FFCDD9D4"/>
      </left>
      <right style="thin">
        <color rgb="FF284E3F"/>
      </right>
      <top style="double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3" fillId="2" fontId="2" numFmtId="0" xfId="0" applyAlignment="1" applyBorder="1" applyFont="1">
      <alignment horizontal="left" readingOrder="0"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5" fillId="3" fontId="3" numFmtId="3" xfId="0" applyAlignment="1" applyBorder="1" applyFont="1" applyNumberFormat="1">
      <alignment horizontal="right" shrinkToFit="0" vertical="center" wrapText="0"/>
    </xf>
    <xf borderId="6" fillId="3" fontId="3" numFmtId="3" xfId="0" applyAlignment="1" applyBorder="1" applyFont="1" applyNumberFormat="1">
      <alignment horizontal="right" shrinkToFit="0" vertical="center" wrapText="0"/>
    </xf>
    <xf borderId="7" fillId="4" fontId="3" numFmtId="0" xfId="0" applyAlignment="1" applyBorder="1" applyFill="1" applyFont="1">
      <alignment shrinkToFit="0" vertical="center" wrapText="0"/>
    </xf>
    <xf borderId="8" fillId="4" fontId="3" numFmtId="3" xfId="0" applyAlignment="1" applyBorder="1" applyFont="1" applyNumberFormat="1">
      <alignment horizontal="right" shrinkToFit="0" vertical="center" wrapText="0"/>
    </xf>
    <xf borderId="9" fillId="4" fontId="3" numFmtId="3" xfId="0" applyAlignment="1" applyBorder="1" applyFont="1" applyNumberFormat="1">
      <alignment horizontal="right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3" xfId="0" applyAlignment="1" applyFont="1" applyNumberFormat="1">
      <alignment readingOrder="0" shrinkToFit="0" vertical="center" wrapText="0"/>
    </xf>
    <xf borderId="10" fillId="5" fontId="3" numFmtId="0" xfId="0" applyAlignment="1" applyBorder="1" applyFont="1">
      <alignment shrinkToFit="0" vertical="center" wrapText="0"/>
    </xf>
    <xf borderId="11" fillId="5" fontId="3" numFmtId="0" xfId="0" applyAlignment="1" applyBorder="1" applyFont="1">
      <alignment horizontal="right" shrinkToFit="0" vertical="center" wrapText="0"/>
    </xf>
    <xf borderId="12" fillId="5" fontId="3" numFmtId="0" xfId="0" applyAlignment="1" applyBorder="1" applyFont="1">
      <alignment horizontal="right" shrinkToFit="0" vertical="center" wrapText="0"/>
    </xf>
    <xf borderId="0" fillId="0" fontId="4" numFmtId="0" xfId="0" applyAlignment="1" applyFont="1">
      <alignment vertical="bottom"/>
    </xf>
    <xf borderId="5" fillId="3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13" fillId="4" fontId="3" numFmtId="0" xfId="0" applyAlignment="1" applyBorder="1" applyFont="1">
      <alignment shrinkToFit="0" vertical="center" wrapText="0"/>
    </xf>
    <xf borderId="14" fillId="4" fontId="4" numFmtId="0" xfId="0" applyAlignment="1" applyBorder="1" applyFont="1">
      <alignment shrinkToFit="0" vertical="center" wrapText="0"/>
    </xf>
    <xf borderId="14" fillId="4" fontId="3" numFmtId="0" xfId="0" applyAlignment="1" applyBorder="1" applyFont="1">
      <alignment shrinkToFit="0" vertical="center" wrapText="0"/>
    </xf>
    <xf borderId="15" fillId="4" fontId="3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5" pivot="0" name="Presupuesto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resupuesto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Presupuesto-style 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resupuesto-style 4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G6" displayName="Tabla_1" name="Tabla_1" id="1">
  <tableColumns count="7">
    <tableColumn totalsRowLabel="Total" name="Item" id="1"/>
    <tableColumn totalsRowFunction="custom" name="Mes 1" id="2"/>
    <tableColumn totalsRowFunction="custom" name="Mes 2" id="3"/>
    <tableColumn totalsRowFunction="custom" name="Mes 3" id="4"/>
    <tableColumn totalsRowFunction="custom" name="Mes 4" id="5"/>
    <tableColumn totalsRowFunction="custom" name="Mes 5" id="6"/>
    <tableColumn totalsRowFunction="custom" name="Total (5 Meses)" id="7"/>
  </tableColumns>
  <tableStyleInfo name="Presupuesto-style" showColumnStripes="0" showFirstColumn="1" showLastColumn="1" showRowStripes="1"/>
</table>
</file>

<file path=xl/tables/table2.xml><?xml version="1.0" encoding="utf-8"?>
<table xmlns="http://schemas.openxmlformats.org/spreadsheetml/2006/main" ref="A9:G21" displayName="Tabla_2" name="Tabla_2" id="2">
  <tableColumns count="7">
    <tableColumn name="Item" id="1"/>
    <tableColumn name="Mes 1" id="2"/>
    <tableColumn name="Mes 2" id="3"/>
    <tableColumn name="Mes 3" id="4"/>
    <tableColumn name="Mes 4" id="5"/>
    <tableColumn name="Mes 5" id="6"/>
    <tableColumn name="Total (5 Meses)" id="7"/>
  </tableColumns>
  <tableStyleInfo name="Presupuesto-style 2" showColumnStripes="0" showFirstColumn="1" showLastColumn="1" showRowStripes="1"/>
</table>
</file>

<file path=xl/tables/table3.xml><?xml version="1.0" encoding="utf-8"?>
<table xmlns="http://schemas.openxmlformats.org/spreadsheetml/2006/main" totalsRowCount="1" ref="A24:G27" displayName="Tabla_3" name="Tabla_3" id="3">
  <tableColumns count="7">
    <tableColumn totalsRowLabel="Total" name="Item" id="1"/>
    <tableColumn totalsRowFunction="custom" name="Mes 1" id="2"/>
    <tableColumn totalsRowFunction="custom" name="Mes 2" id="3"/>
    <tableColumn totalsRowFunction="custom" name="Mes 3" id="4"/>
    <tableColumn totalsRowFunction="custom" name="Mes 4" id="5"/>
    <tableColumn totalsRowFunction="custom" name="Mes 5" id="6"/>
    <tableColumn totalsRowFunction="custom" name="Total (5 Meses)" id="7"/>
  </tableColumns>
  <tableStyleInfo name="Presupuesto-style 3" showColumnStripes="0" showFirstColumn="1" showLastColumn="1" showRowStripes="1"/>
</table>
</file>

<file path=xl/tables/table4.xml><?xml version="1.0" encoding="utf-8"?>
<table xmlns="http://schemas.openxmlformats.org/spreadsheetml/2006/main" ref="A30:D34" displayName="Tabla_4" name="Tabla_4" id="4">
  <tableColumns count="4">
    <tableColumn name="Item" id="1"/>
    <tableColumn name="Descripción" id="2"/>
    <tableColumn name="Frecuencia" id="3"/>
    <tableColumn name="Costo Estimado (COP)" id="4"/>
  </tableColumns>
  <tableStyleInfo name="Presupues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6" width="13.25"/>
    <col customWidth="1" min="7" max="7" width="2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>
        <v>7500000.0</v>
      </c>
      <c r="C2" s="3">
        <v>7500000.0</v>
      </c>
      <c r="D2" s="3">
        <v>7500000.0</v>
      </c>
      <c r="E2" s="3">
        <v>7500000.0</v>
      </c>
      <c r="F2" s="3">
        <v>7500000.0</v>
      </c>
      <c r="G2" s="3">
        <v>3.75E7</v>
      </c>
    </row>
    <row r="3" ht="22.5" customHeight="1">
      <c r="A3" s="2" t="s">
        <v>8</v>
      </c>
      <c r="B3" s="3">
        <v>500000.0</v>
      </c>
      <c r="C3" s="3">
        <v>500000.0</v>
      </c>
      <c r="D3" s="3">
        <v>500000.0</v>
      </c>
      <c r="E3" s="3">
        <v>500000.0</v>
      </c>
      <c r="F3" s="3">
        <v>500000.0</v>
      </c>
      <c r="G3" s="3">
        <v>2500000.0</v>
      </c>
    </row>
    <row r="4" ht="22.5" customHeight="1">
      <c r="A4" s="2" t="s">
        <v>9</v>
      </c>
      <c r="B4" s="3">
        <v>1000000.0</v>
      </c>
      <c r="C4" s="3">
        <v>300000.0</v>
      </c>
      <c r="D4" s="3">
        <v>300000.0</v>
      </c>
      <c r="E4" s="3">
        <v>300000.0</v>
      </c>
      <c r="F4" s="3">
        <v>300000.0</v>
      </c>
      <c r="G4" s="3">
        <v>2200000.0</v>
      </c>
    </row>
    <row r="5" ht="22.5" customHeight="1">
      <c r="A5" s="2" t="s">
        <v>10</v>
      </c>
      <c r="B5" s="3">
        <v>1000000.0</v>
      </c>
      <c r="C5" s="3">
        <v>1000000.0</v>
      </c>
      <c r="D5" s="3">
        <v>1000000.0</v>
      </c>
      <c r="E5" s="3">
        <v>1000000.0</v>
      </c>
      <c r="F5" s="3">
        <v>1000000.0</v>
      </c>
      <c r="G5" s="3">
        <v>5000000.0</v>
      </c>
    </row>
    <row r="6" ht="22.5" customHeight="1">
      <c r="A6" s="2" t="s">
        <v>11</v>
      </c>
      <c r="B6" s="4">
        <f>SUM(Tabla_1[Mes 1])</f>
        <v>10000000</v>
      </c>
      <c r="C6" s="4">
        <f>SUM(Tabla_1[Mes 2])</f>
        <v>9300000</v>
      </c>
      <c r="D6" s="4">
        <f>SUM(Tabla_1[Mes 3])</f>
        <v>9300000</v>
      </c>
      <c r="E6" s="4">
        <f>SUM(Tabla_1[Mes 4])</f>
        <v>9300000</v>
      </c>
      <c r="F6" s="4">
        <f>SUM(Tabla_1[Mes 5])</f>
        <v>9300000</v>
      </c>
      <c r="G6" s="4">
        <f>SUM(Tabla_1[Total (5 Meses)])</f>
        <v>47200000</v>
      </c>
    </row>
    <row r="9" ht="22.5" customHeight="1">
      <c r="A9" s="5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7" t="s">
        <v>6</v>
      </c>
    </row>
    <row r="10" ht="22.5" customHeight="1">
      <c r="A10" s="8" t="s">
        <v>12</v>
      </c>
      <c r="B10" s="9">
        <v>4000000.0</v>
      </c>
      <c r="C10" s="9">
        <v>4000000.0</v>
      </c>
      <c r="D10" s="9">
        <v>4000000.0</v>
      </c>
      <c r="E10" s="9">
        <v>4000000.0</v>
      </c>
      <c r="F10" s="9">
        <v>4000000.0</v>
      </c>
      <c r="G10" s="10">
        <v>2.0E7</v>
      </c>
    </row>
    <row r="11" ht="22.5" customHeight="1">
      <c r="A11" s="11" t="s">
        <v>13</v>
      </c>
      <c r="B11" s="12">
        <v>1500000.0</v>
      </c>
      <c r="C11" s="12">
        <v>1500000.0</v>
      </c>
      <c r="D11" s="12">
        <v>1500000.0</v>
      </c>
      <c r="E11" s="12">
        <v>1500000.0</v>
      </c>
      <c r="F11" s="12">
        <v>1500000.0</v>
      </c>
      <c r="G11" s="13">
        <v>7500000.0</v>
      </c>
    </row>
    <row r="12" ht="22.5" customHeight="1">
      <c r="A12" s="8" t="s">
        <v>14</v>
      </c>
      <c r="B12" s="9">
        <v>400000.0</v>
      </c>
      <c r="C12" s="9">
        <v>400000.0</v>
      </c>
      <c r="D12" s="9">
        <v>400000.0</v>
      </c>
      <c r="E12" s="9">
        <v>400000.0</v>
      </c>
      <c r="F12" s="9">
        <v>400000.0</v>
      </c>
      <c r="G12" s="10">
        <v>2000000.0</v>
      </c>
    </row>
    <row r="13" ht="22.5" customHeight="1">
      <c r="A13" s="11" t="s">
        <v>15</v>
      </c>
      <c r="B13" s="12">
        <v>300000.0</v>
      </c>
      <c r="C13" s="12">
        <v>600000.0</v>
      </c>
      <c r="D13" s="12">
        <v>1000000.0</v>
      </c>
      <c r="E13" s="12">
        <v>1200000.0</v>
      </c>
      <c r="F13" s="12">
        <v>1500000.0</v>
      </c>
      <c r="G13" s="13">
        <v>4600000.0</v>
      </c>
    </row>
    <row r="14" ht="22.5" customHeight="1">
      <c r="A14" s="8" t="s">
        <v>16</v>
      </c>
      <c r="B14" s="9">
        <v>1500000.0</v>
      </c>
      <c r="C14" s="9">
        <v>1000000.0</v>
      </c>
      <c r="D14" s="9">
        <v>1000000.0</v>
      </c>
      <c r="E14" s="9">
        <v>500000.0</v>
      </c>
      <c r="F14" s="9">
        <v>500000.0</v>
      </c>
      <c r="G14" s="10">
        <v>4500000.0</v>
      </c>
    </row>
    <row r="15" ht="22.5" customHeight="1">
      <c r="A15" s="11" t="s">
        <v>17</v>
      </c>
      <c r="B15" s="12">
        <v>300000.0</v>
      </c>
      <c r="C15" s="12">
        <v>300000.0</v>
      </c>
      <c r="D15" s="12">
        <v>300000.0</v>
      </c>
      <c r="E15" s="12">
        <v>300000.0</v>
      </c>
      <c r="F15" s="12">
        <v>300000.0</v>
      </c>
      <c r="G15" s="13">
        <v>1500000.0</v>
      </c>
    </row>
    <row r="16" ht="22.5" customHeight="1">
      <c r="A16" s="8" t="s">
        <v>18</v>
      </c>
      <c r="B16" s="9">
        <v>800000.0</v>
      </c>
      <c r="C16" s="9">
        <v>800000.0</v>
      </c>
      <c r="D16" s="9">
        <v>800000.0</v>
      </c>
      <c r="E16" s="9">
        <v>800000.0</v>
      </c>
      <c r="F16" s="9">
        <v>800000.0</v>
      </c>
      <c r="G16" s="10">
        <v>4000000.0</v>
      </c>
    </row>
    <row r="17" ht="22.5" customHeight="1">
      <c r="A17" s="11" t="s">
        <v>19</v>
      </c>
      <c r="B17" s="12">
        <v>500000.0</v>
      </c>
      <c r="C17" s="12">
        <v>500000.0</v>
      </c>
      <c r="D17" s="12">
        <v>500000.0</v>
      </c>
      <c r="E17" s="12">
        <v>500000.0</v>
      </c>
      <c r="F17" s="12">
        <v>500000.0</v>
      </c>
      <c r="G17" s="13">
        <v>2500000.0</v>
      </c>
    </row>
    <row r="18" ht="22.5" customHeight="1">
      <c r="A18" s="8" t="s">
        <v>20</v>
      </c>
      <c r="B18" s="9">
        <v>100000.0</v>
      </c>
      <c r="C18" s="9">
        <v>100000.0</v>
      </c>
      <c r="D18" s="9">
        <v>100000.0</v>
      </c>
      <c r="E18" s="9">
        <v>100000.0</v>
      </c>
      <c r="F18" s="9">
        <v>100000.0</v>
      </c>
      <c r="G18" s="10">
        <v>500000.0</v>
      </c>
    </row>
    <row r="19" ht="22.5" customHeight="1">
      <c r="A19" s="11" t="s">
        <v>21</v>
      </c>
      <c r="B19" s="12">
        <v>50000.0</v>
      </c>
      <c r="C19" s="12">
        <v>50000.0</v>
      </c>
      <c r="D19" s="12">
        <v>50000.0</v>
      </c>
      <c r="E19" s="12">
        <v>50000.0</v>
      </c>
      <c r="F19" s="12">
        <v>50000.0</v>
      </c>
      <c r="G19" s="13">
        <v>250000.0</v>
      </c>
    </row>
    <row r="20" ht="22.5" customHeight="1">
      <c r="A20" s="8" t="s">
        <v>22</v>
      </c>
      <c r="B20" s="9">
        <v>300000.0</v>
      </c>
      <c r="C20" s="9">
        <v>300000.0</v>
      </c>
      <c r="D20" s="9">
        <v>300000.0</v>
      </c>
      <c r="E20" s="9">
        <v>300000.0</v>
      </c>
      <c r="F20" s="9">
        <v>300000.0</v>
      </c>
      <c r="G20" s="10">
        <v>1500000.0</v>
      </c>
    </row>
    <row r="21" ht="22.5" customHeight="1">
      <c r="A21" s="14" t="s">
        <v>11</v>
      </c>
      <c r="B21" s="15">
        <v>9750000.0</v>
      </c>
      <c r="C21" s="15">
        <v>9550000.0</v>
      </c>
      <c r="D21" s="15">
        <v>1.005E7</v>
      </c>
      <c r="E21" s="15">
        <v>9750000.0</v>
      </c>
      <c r="F21" s="15">
        <v>1.005E7</v>
      </c>
      <c r="G21" s="15">
        <v>4.915E7</v>
      </c>
    </row>
    <row r="24" ht="22.5" customHeight="1">
      <c r="A24" s="5" t="s">
        <v>0</v>
      </c>
      <c r="B24" s="6" t="s">
        <v>1</v>
      </c>
      <c r="C24" s="6" t="s">
        <v>2</v>
      </c>
      <c r="D24" s="6" t="s">
        <v>3</v>
      </c>
      <c r="E24" s="6" t="s">
        <v>4</v>
      </c>
      <c r="F24" s="6" t="s">
        <v>5</v>
      </c>
      <c r="G24" s="7" t="s">
        <v>6</v>
      </c>
    </row>
    <row r="25" ht="22.5" customHeight="1">
      <c r="A25" s="8" t="s">
        <v>23</v>
      </c>
      <c r="B25" s="9">
        <v>1.0E7</v>
      </c>
      <c r="C25" s="9">
        <v>9300000.0</v>
      </c>
      <c r="D25" s="9">
        <v>9300000.0</v>
      </c>
      <c r="E25" s="9">
        <v>9300000.0</v>
      </c>
      <c r="F25" s="9">
        <v>9300000.0</v>
      </c>
      <c r="G25" s="10">
        <v>4.72E7</v>
      </c>
    </row>
    <row r="26" ht="22.5" customHeight="1">
      <c r="A26" s="11" t="s">
        <v>24</v>
      </c>
      <c r="B26" s="12">
        <v>9750000.0</v>
      </c>
      <c r="C26" s="12">
        <v>9550000.0</v>
      </c>
      <c r="D26" s="12">
        <v>1.005E7</v>
      </c>
      <c r="E26" s="12">
        <v>9750000.0</v>
      </c>
      <c r="F26" s="12">
        <v>1.005E7</v>
      </c>
      <c r="G26" s="13">
        <v>4.915E7</v>
      </c>
    </row>
    <row r="27" ht="22.5" customHeight="1">
      <c r="A27" s="16" t="s">
        <v>11</v>
      </c>
      <c r="B27" s="17">
        <f>SUM(Presupuesto!$B$2:$B$3)</f>
        <v>8000000</v>
      </c>
      <c r="C27" s="17">
        <f>SUM(Presupuesto!$C$2:$C$3)</f>
        <v>8000000</v>
      </c>
      <c r="D27" s="17">
        <f>SUM(Presupuesto!$D$2:$D$3)</f>
        <v>8000000</v>
      </c>
      <c r="E27" s="17">
        <f>SUM(Presupuesto!$E$2:$E$3)</f>
        <v>8000000</v>
      </c>
      <c r="F27" s="17">
        <f>SUM(Presupuesto!$F$2:$F$3)</f>
        <v>8000000</v>
      </c>
      <c r="G27" s="18">
        <f>SUM(Presupuesto!$G$2:$G$3)</f>
        <v>40000000</v>
      </c>
    </row>
    <row r="30" ht="22.5" customHeight="1">
      <c r="A30" s="5" t="s">
        <v>0</v>
      </c>
      <c r="B30" s="6" t="s">
        <v>25</v>
      </c>
      <c r="C30" s="6" t="s">
        <v>26</v>
      </c>
      <c r="D30" s="7" t="s">
        <v>27</v>
      </c>
      <c r="E30" s="19"/>
    </row>
    <row r="31" ht="22.5" customHeight="1">
      <c r="A31" s="8" t="s">
        <v>28</v>
      </c>
      <c r="B31" s="20" t="s">
        <v>29</v>
      </c>
      <c r="C31" s="20" t="s">
        <v>30</v>
      </c>
      <c r="D31" s="10">
        <v>1000000.0</v>
      </c>
      <c r="E31" s="19"/>
    </row>
    <row r="32" ht="22.5" customHeight="1">
      <c r="A32" s="11" t="s">
        <v>31</v>
      </c>
      <c r="B32" s="21" t="s">
        <v>32</v>
      </c>
      <c r="C32" s="21" t="s">
        <v>33</v>
      </c>
      <c r="D32" s="13">
        <v>200000.0</v>
      </c>
      <c r="E32" s="19"/>
    </row>
    <row r="33" ht="22.5" customHeight="1">
      <c r="A33" s="8" t="s">
        <v>34</v>
      </c>
      <c r="B33" s="20" t="s">
        <v>35</v>
      </c>
      <c r="C33" s="20" t="s">
        <v>30</v>
      </c>
      <c r="D33" s="10">
        <v>3000000.0</v>
      </c>
      <c r="E33" s="19"/>
    </row>
    <row r="34" ht="22.5" customHeight="1">
      <c r="A34" s="22" t="s">
        <v>36</v>
      </c>
      <c r="B34" s="23"/>
      <c r="C34" s="24" t="s">
        <v>30</v>
      </c>
      <c r="D34" s="25">
        <v>4000000.0</v>
      </c>
      <c r="E34" s="19"/>
    </row>
  </sheetData>
  <dataValidations>
    <dataValidation type="custom" allowBlank="1" showDropDown="1" sqref="B2:G5 B10:G21 B25:G26 D31:D34">
      <formula1>AND(ISNUMBER(B2),(NOT(OR(NOT(ISERROR(DATEVALUE(B2))), AND(ISNUMBER(B2), LEFT(CELL("format", B2))="D")))))</formula1>
    </dataValidation>
  </dataValidations>
  <drawing r:id="rId1"/>
  <tableParts count="4">
    <tablePart r:id="rId6"/>
    <tablePart r:id="rId7"/>
    <tablePart r:id="rId8"/>
    <tablePart r:id="rId9"/>
  </tableParts>
</worksheet>
</file>